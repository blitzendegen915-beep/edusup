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立替金精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/mm/dd"/>
    <numFmt numFmtId="166" formatCode="m/d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166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  <xf numFmtId="3" fontId="2" fillId="0" borderId="1" pivotButton="0" quotePrefix="0" xfId="0"/>
    <xf numFmtId="0" fontId="2" fillId="0" borderId="0" pivotButton="0" quotePrefix="0" xfId="0"/>
    <xf numFmtId="3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30" customWidth="1" min="4" max="4"/>
    <col width="12" customWidth="1" min="5" max="5"/>
    <col width="10" customWidth="1" min="6" max="6"/>
    <col width="30" customWidth="1" min="7" max="7"/>
  </cols>
  <sheetData>
    <row r="1">
      <c r="A1" s="1" t="inlineStr">
        <is>
          <t>2026年度 夏季合宿 立替金精算表</t>
        </is>
      </c>
    </row>
    <row r="2">
      <c r="A2" t="inlineStr">
        <is>
          <t>作成日:</t>
        </is>
      </c>
      <c r="B2" s="2" t="n">
        <v>46282</v>
      </c>
    </row>
    <row r="4">
      <c r="A4" s="3" t="inlineStr">
        <is>
          <t>立替者</t>
        </is>
      </c>
      <c r="B4" s="3" t="inlineStr">
        <is>
          <t>日付</t>
        </is>
      </c>
      <c r="C4" s="3" t="inlineStr">
        <is>
          <t>支払先</t>
        </is>
      </c>
      <c r="D4" s="3" t="inlineStr">
        <is>
          <t>内容</t>
        </is>
      </c>
      <c r="E4" s="3" t="inlineStr">
        <is>
          <t>金額</t>
        </is>
      </c>
      <c r="F4" s="3" t="inlineStr">
        <is>
          <t>領収書</t>
        </is>
      </c>
      <c r="G4" s="3" t="inlineStr">
        <is>
          <t>備考</t>
        </is>
      </c>
    </row>
    <row r="5">
      <c r="A5" s="4" t="inlineStr">
        <is>
          <t>畠山</t>
        </is>
      </c>
      <c r="B5" s="5" t="n">
        <v>46235</v>
      </c>
      <c r="C5" s="4" t="inlineStr">
        <is>
          <t>日本ハイウェイ・サービス</t>
        </is>
      </c>
      <c r="D5" s="4" t="inlineStr">
        <is>
          <t>東京ばな奈7個ほか</t>
        </is>
      </c>
      <c r="E5" s="6" t="n">
        <v>6781</v>
      </c>
      <c r="F5" s="4" t="inlineStr">
        <is>
          <t>r001</t>
        </is>
      </c>
      <c r="G5" s="4" t="inlineStr">
        <is>
          <t>対戦校への手土産と思われる。要確認</t>
        </is>
      </c>
    </row>
    <row r="6">
      <c r="A6" s="4" t="inlineStr">
        <is>
          <t>畠山</t>
        </is>
      </c>
      <c r="B6" s="5" t="n">
        <v>46236</v>
      </c>
      <c r="C6" s="4" t="inlineStr">
        <is>
          <t>セブンイレブン菅平高原八店</t>
        </is>
      </c>
      <c r="D6" s="4" t="inlineStr">
        <is>
          <t>串団子3本入 23パック</t>
        </is>
      </c>
      <c r="E6" s="6" t="n">
        <v>3179</v>
      </c>
      <c r="F6" s="4" t="inlineStr">
        <is>
          <t>r002</t>
        </is>
      </c>
      <c r="G6" s="4" t="inlineStr">
        <is>
          <t>補食。昨年台帳でも団子は雑費計上</t>
        </is>
      </c>
    </row>
    <row r="7">
      <c r="A7" s="4" t="inlineStr">
        <is>
          <t>畠山</t>
        </is>
      </c>
      <c r="B7" s="5" t="n">
        <v>46236</v>
      </c>
      <c r="C7" s="4" t="inlineStr">
        <is>
          <t>セブンイレブン菅平高原八店</t>
        </is>
      </c>
      <c r="D7" s="4" t="inlineStr">
        <is>
          <t>串団子3本入 5パック</t>
        </is>
      </c>
      <c r="E7" s="6" t="n">
        <v>691</v>
      </c>
      <c r="F7" s="4" t="inlineStr">
        <is>
          <t>r003</t>
        </is>
      </c>
      <c r="G7" s="4" t="inlineStr">
        <is>
          <t>補食。昨年台帳でも団子は雑費計上</t>
        </is>
      </c>
    </row>
    <row r="8">
      <c r="A8" s="4" t="inlineStr">
        <is>
          <t>畠山</t>
        </is>
      </c>
      <c r="B8" s="5" t="n">
        <v>46236</v>
      </c>
      <c r="C8" s="4" t="inlineStr">
        <is>
          <t>コメリ真田店</t>
        </is>
      </c>
      <c r="D8" s="4" t="inlineStr">
        <is>
          <t>消臭剤・HDMIケーブル</t>
        </is>
      </c>
      <c r="E8" s="6" t="n">
        <v>2178</v>
      </c>
      <c r="F8" s="4" t="inlineStr">
        <is>
          <t>r004</t>
        </is>
      </c>
      <c r="G8" s="4" t="inlineStr"/>
    </row>
    <row r="9">
      <c r="A9" s="4" t="inlineStr">
        <is>
          <t>畠山</t>
        </is>
      </c>
      <c r="B9" s="5" t="n">
        <v>46236</v>
      </c>
      <c r="C9" s="4" t="inlineStr">
        <is>
          <t>セブンイレブン菅平高原八店</t>
        </is>
      </c>
      <c r="D9" s="4" t="inlineStr">
        <is>
          <t>ゼリー飲料3点</t>
        </is>
      </c>
      <c r="E9" s="6" t="n">
        <v>878</v>
      </c>
      <c r="F9" s="4" t="inlineStr">
        <is>
          <t>r005</t>
        </is>
      </c>
      <c r="G9" s="4" t="inlineStr"/>
    </row>
    <row r="10">
      <c r="A10" s="4" t="inlineStr">
        <is>
          <t>畠山</t>
        </is>
      </c>
      <c r="B10" s="5" t="n">
        <v>46240</v>
      </c>
      <c r="C10" s="4" t="inlineStr">
        <is>
          <t>セブンイレブン菅平高原八店</t>
        </is>
      </c>
      <c r="D10" s="4" t="inlineStr">
        <is>
          <t>内訳記載なし（クレジット払い）</t>
        </is>
      </c>
      <c r="E10" s="6" t="n">
        <v>14631</v>
      </c>
      <c r="F10" s="4" t="inlineStr">
        <is>
          <t>r006</t>
        </is>
      </c>
      <c r="G10" s="4" t="inlineStr">
        <is>
          <t>品目不明。要メモ</t>
        </is>
      </c>
    </row>
    <row r="11">
      <c r="A11" s="4" t="inlineStr">
        <is>
          <t>畠山</t>
        </is>
      </c>
      <c r="B11" s="5" t="n">
        <v>46240</v>
      </c>
      <c r="C11" s="4" t="inlineStr">
        <is>
          <t>セブンイレブン菅平高原八店</t>
        </is>
      </c>
      <c r="D11" s="4" t="inlineStr">
        <is>
          <t>菓子類</t>
        </is>
      </c>
      <c r="E11" s="6" t="n">
        <v>2337</v>
      </c>
      <c r="F11" s="4" t="inlineStr">
        <is>
          <t>r007</t>
        </is>
      </c>
      <c r="G11" s="4" t="inlineStr"/>
    </row>
    <row r="12">
      <c r="A12" s="4" t="inlineStr">
        <is>
          <t>畠山</t>
        </is>
      </c>
      <c r="B12" s="5" t="n">
        <v>46240</v>
      </c>
      <c r="C12" s="4" t="inlineStr">
        <is>
          <t>菅平ホテル</t>
        </is>
      </c>
      <c r="D12" s="4" t="inlineStr">
        <is>
          <t>コインランドリーカード 1000円×2枚</t>
        </is>
      </c>
      <c r="E12" s="6" t="n">
        <v>2000</v>
      </c>
      <c r="F12" s="4" t="inlineStr">
        <is>
          <t>r008</t>
        </is>
      </c>
      <c r="G12" s="4" t="inlineStr">
        <is>
          <t>残額は翌年繰越。カード現物は部で保管</t>
        </is>
      </c>
    </row>
    <row r="13">
      <c r="A13" s="4" t="n"/>
      <c r="B13" s="4" t="n"/>
      <c r="C13" s="4" t="n"/>
      <c r="D13" s="7" t="inlineStr">
        <is>
          <t>畠山 小計</t>
        </is>
      </c>
      <c r="E13" s="8">
        <f>SUM(E5:E12)</f>
        <v/>
      </c>
      <c r="F13" s="4" t="n"/>
      <c r="G13" s="4" t="n"/>
    </row>
    <row r="15">
      <c r="A15" s="4" t="inlineStr">
        <is>
          <t>占部</t>
        </is>
      </c>
      <c r="B15" s="5" t="n">
        <v>46237</v>
      </c>
      <c r="C15" s="4" t="inlineStr">
        <is>
          <t>医療機関</t>
        </is>
      </c>
      <c r="D15" s="4" t="inlineStr">
        <is>
          <t>秋元翔斗 受診料</t>
        </is>
      </c>
      <c r="E15" s="6" t="n">
        <v>1070</v>
      </c>
      <c r="F15" s="4" t="inlineStr">
        <is>
          <t>r009</t>
        </is>
      </c>
      <c r="G15" s="4" t="inlineStr">
        <is>
          <t>メディカル費</t>
        </is>
      </c>
    </row>
    <row r="16">
      <c r="A16" s="4" t="inlineStr">
        <is>
          <t>占部</t>
        </is>
      </c>
      <c r="B16" s="5" t="n">
        <v>46241</v>
      </c>
      <c r="C16" s="4" t="inlineStr">
        <is>
          <t>星野コーチ</t>
        </is>
      </c>
      <c r="D16" s="4" t="inlineStr">
        <is>
          <t>夏合宿 コーチ謝礼</t>
        </is>
      </c>
      <c r="E16" s="6" t="n">
        <v>20000</v>
      </c>
      <c r="F16" s="4" t="inlineStr">
        <is>
          <t>r010</t>
        </is>
      </c>
      <c r="G16" s="4" t="inlineStr">
        <is>
          <t>占部立替。日付は要確認。2人目のコーチ分は未計上</t>
        </is>
      </c>
    </row>
    <row r="17">
      <c r="A17" s="4" t="n"/>
      <c r="B17" s="4" t="n"/>
      <c r="C17" s="4" t="n"/>
      <c r="D17" s="7" t="inlineStr">
        <is>
          <t>占部 小計</t>
        </is>
      </c>
      <c r="E17" s="8">
        <f>SUM(E15:E16)</f>
        <v/>
      </c>
      <c r="F17" s="4" t="n"/>
      <c r="G17" s="4" t="n"/>
    </row>
    <row r="19">
      <c r="D19" s="9" t="inlineStr">
        <is>
          <t>立替金 合計（各先生への返金額）</t>
        </is>
      </c>
      <c r="E19" s="10">
        <f>E13+E17</f>
        <v/>
      </c>
    </row>
    <row r="21">
      <c r="A21" t="inlineStr">
        <is>
          <t>※ settled=no（未精算）の支出のみを対象としています。</t>
        </is>
      </c>
    </row>
    <row r="22">
      <c r="A22" t="inlineStr">
        <is>
          <t>※ 追加の立替が判明した場合はこの表を更新すること。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2026-09-17T01:59:14Z</dcterms:created>
  <dcterms:modified xmlns:dcterms="http://purl.org/dc/terms/" xmlns:xsi="http://www.w3.org/2001/XMLSchema-instance" xsi:type="dcterms:W3CDTF">2026-09-17T01:59:14Z</dcterms:modified>
</cp:coreProperties>
</file>