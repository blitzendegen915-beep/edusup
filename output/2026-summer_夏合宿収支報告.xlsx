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収支報告" sheetId="1" state="visible" r:id="rId1"/>
    <sheet xmlns:r="http://schemas.openxmlformats.org/officeDocument/2006/relationships" name="合宿中使用経費" sheetId="2" state="visible" r:id="rId2"/>
    <sheet xmlns:r="http://schemas.openxmlformats.org/officeDocument/2006/relationships" name="父母会予算精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年m月d日"/>
    <numFmt numFmtId="166" formatCode="m/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0" borderId="1" pivotButton="0" quotePrefix="0" xfId="0"/>
    <xf numFmtId="3" fontId="1" fillId="2" borderId="1" pivotButton="0" quotePrefix="0" xfId="0"/>
    <xf numFmtId="3" fontId="0" fillId="3" borderId="1" pivotButton="0" quotePrefix="0" xfId="0"/>
    <xf numFmtId="3" fontId="1" fillId="0" borderId="0" pivotButton="0" quotePrefix="0" xfId="0"/>
    <xf numFmtId="3" fontId="0" fillId="3" borderId="0" pivotButton="0" quotePrefix="0" xfId="0"/>
    <xf numFmtId="3" fontId="1" fillId="2" borderId="0" pivotButton="0" quotePrefix="0" xfId="0"/>
    <xf numFmtId="0" fontId="0" fillId="0" borderId="0" applyAlignment="1" pivotButton="0" quotePrefix="0" xfId="0">
      <alignment wrapText="1"/>
    </xf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6" customWidth="1" min="4" max="4"/>
    <col width="14" customWidth="1" min="5" max="5"/>
  </cols>
  <sheetData>
    <row r="1">
      <c r="A1" s="1" t="inlineStr">
        <is>
          <t>ラグビー部保護者各位</t>
        </is>
      </c>
    </row>
    <row r="2">
      <c r="A2" t="inlineStr">
        <is>
          <t>日付:</t>
        </is>
      </c>
      <c r="B2" s="2" t="n">
        <v>46291</v>
      </c>
    </row>
    <row r="3">
      <c r="A3" t="inlineStr">
        <is>
          <t>差出人: 駒澤大学高等学校 校長 井上誠二 / ラグビー部顧問 畠山和真・占部涼也</t>
        </is>
      </c>
    </row>
    <row r="5">
      <c r="A5" s="3" t="inlineStr">
        <is>
          <t>2026年度 夏季合宿 収支報告</t>
        </is>
      </c>
    </row>
    <row r="6" ht="30" customHeight="1">
      <c r="A6" s="4" t="inlineStr">
        <is>
          <t>夏合宿（8/1（土）〜8/7（金）・菅平ホテル）にあたりましては、格別のご協力を賜り誠にありがとうございました。下記の通り収支がまとまりましたのでご報告いたします。</t>
        </is>
      </c>
    </row>
    <row r="8">
      <c r="A8" s="1" t="inlineStr">
        <is>
          <t>【収入】</t>
        </is>
      </c>
    </row>
    <row r="9">
      <c r="A9" s="5" t="inlineStr">
        <is>
          <t>費目</t>
        </is>
      </c>
      <c r="B9" s="5" t="inlineStr">
        <is>
          <t>単価</t>
        </is>
      </c>
      <c r="C9" s="5" t="inlineStr">
        <is>
          <t>人数</t>
        </is>
      </c>
      <c r="D9" s="5" t="inlineStr">
        <is>
          <t>金額</t>
        </is>
      </c>
    </row>
    <row r="10">
      <c r="A10" s="6" t="inlineStr">
        <is>
          <t>選手参加費（全日参加）</t>
        </is>
      </c>
      <c r="B10" s="7" t="n">
        <v>79090</v>
      </c>
      <c r="C10" s="6" t="n">
        <v>38</v>
      </c>
      <c r="D10" s="7">
        <f>B10*C10</f>
        <v/>
      </c>
    </row>
    <row r="11">
      <c r="A11" s="6" t="inlineStr">
        <is>
          <t>マネージャー参加費（全日参加）</t>
        </is>
      </c>
      <c r="B11" s="7" t="n">
        <v>78060</v>
      </c>
      <c r="C11" s="6" t="n">
        <v>2</v>
      </c>
      <c r="D11" s="7">
        <f>B11*C11</f>
        <v/>
      </c>
    </row>
    <row r="12">
      <c r="A12" s="6" t="inlineStr">
        <is>
          <t>途中参加者（吉田 青空・選手）</t>
        </is>
      </c>
      <c r="B12" s="7" t="n">
        <v>33110</v>
      </c>
      <c r="C12" s="6" t="n">
        <v>1</v>
      </c>
      <c r="D12" s="7">
        <f>B12*C12</f>
        <v/>
      </c>
    </row>
    <row r="13">
      <c r="A13" s="6" t="inlineStr">
        <is>
          <t>途中参加者（椎名 薫・マネージャー）</t>
        </is>
      </c>
      <c r="B13" s="7" t="n">
        <v>42250</v>
      </c>
      <c r="C13" s="6" t="n">
        <v>1</v>
      </c>
      <c r="D13" s="7">
        <f>B13*C13</f>
        <v/>
      </c>
    </row>
    <row r="14">
      <c r="A14" s="8" t="inlineStr">
        <is>
          <t>収入合計</t>
        </is>
      </c>
      <c r="B14" s="6" t="n"/>
      <c r="C14" s="6" t="n"/>
      <c r="D14" s="9">
        <f>SUM(D10:D13)</f>
        <v/>
      </c>
    </row>
    <row r="16">
      <c r="A16" s="1" t="inlineStr">
        <is>
          <t>【支出】</t>
        </is>
      </c>
    </row>
    <row r="17">
      <c r="A17" s="5" t="inlineStr">
        <is>
          <t>費目</t>
        </is>
      </c>
      <c r="B17" s="5" t="inlineStr">
        <is>
          <t>単価</t>
        </is>
      </c>
      <c r="C17" s="5" t="inlineStr">
        <is>
          <t>数量</t>
        </is>
      </c>
      <c r="D17" s="5" t="inlineStr">
        <is>
          <t>金額</t>
        </is>
      </c>
    </row>
    <row r="18">
      <c r="A18" s="6" t="inlineStr">
        <is>
          <t>ホテル宿泊代（1泊3食）</t>
        </is>
      </c>
      <c r="B18" s="7" t="n">
        <v>9130</v>
      </c>
      <c r="C18" s="6" t="n">
        <v>258</v>
      </c>
      <c r="D18" s="7">
        <f>B18*C18</f>
        <v/>
      </c>
    </row>
    <row r="19">
      <c r="A19" s="6" t="inlineStr">
        <is>
          <t>増（追加）昼食代</t>
        </is>
      </c>
      <c r="B19" s="7" t="n">
        <v>1100</v>
      </c>
      <c r="C19" s="6" t="n">
        <v>44</v>
      </c>
      <c r="D19" s="7">
        <f>B19*C19</f>
        <v/>
      </c>
    </row>
    <row r="20">
      <c r="A20" s="6" t="inlineStr">
        <is>
          <t>BBQ代</t>
        </is>
      </c>
      <c r="B20" s="7" t="n">
        <v>1100</v>
      </c>
      <c r="C20" s="6" t="n">
        <v>44</v>
      </c>
      <c r="D20" s="7">
        <f>B20*C20</f>
        <v/>
      </c>
    </row>
    <row r="21">
      <c r="A21" s="6" t="inlineStr">
        <is>
          <t>グラウンド使用料</t>
        </is>
      </c>
      <c r="B21" s="7" t="n">
        <v>5500</v>
      </c>
      <c r="C21" s="6" t="n">
        <v>3</v>
      </c>
      <c r="D21" s="7">
        <f>B21*C21</f>
        <v/>
      </c>
    </row>
    <row r="22">
      <c r="A22" s="6" t="inlineStr">
        <is>
          <t>グラウンド使用料</t>
        </is>
      </c>
      <c r="B22" s="7" t="n">
        <v>11000</v>
      </c>
      <c r="C22" s="6" t="n">
        <v>8</v>
      </c>
      <c r="D22" s="7">
        <f>B22*C22</f>
        <v/>
      </c>
    </row>
    <row r="23">
      <c r="A23" s="6" t="inlineStr">
        <is>
          <t>ホテル請求書との差異（増朝食・増夕食・増宿泊等）※1</t>
        </is>
      </c>
      <c r="B23" s="7" t="n">
        <v>-1320</v>
      </c>
      <c r="C23" s="6" t="n">
        <v>1</v>
      </c>
      <c r="D23" s="7">
        <f>B23*C23</f>
        <v/>
      </c>
      <c r="E23" t="inlineStr">
        <is>
          <t>簡易再構成モデルでは内訳化していない単発追加分</t>
        </is>
      </c>
    </row>
    <row r="24">
      <c r="A24" s="6" t="inlineStr">
        <is>
          <t>雑費（合宿中の経費）※2</t>
        </is>
      </c>
      <c r="B24" s="7" t="n">
        <v>25894</v>
      </c>
      <c r="C24" s="6" t="n">
        <v>1</v>
      </c>
      <c r="D24" s="7">
        <f>B24*C24</f>
        <v/>
      </c>
    </row>
    <row r="25">
      <c r="A25" s="6" t="inlineStr">
        <is>
          <t>バス代（国際興業・見積額）※3</t>
        </is>
      </c>
      <c r="B25" s="7" t="n">
        <v>445200</v>
      </c>
      <c r="C25" s="6" t="n">
        <v>1</v>
      </c>
      <c r="D25" s="7">
        <f>B25*C25</f>
        <v/>
      </c>
    </row>
    <row r="26">
      <c r="A26" s="6" t="inlineStr">
        <is>
          <t>コーチ宿泊代・交通費・謝礼</t>
        </is>
      </c>
      <c r="B26" s="10" t="n">
        <v>20000</v>
      </c>
      <c r="C26" s="6" t="n">
        <v>1</v>
      </c>
      <c r="D26" s="7">
        <f>B26*C26</f>
        <v/>
      </c>
      <c r="E26" t="inlineStr">
        <is>
          <t>謝礼1名分を計上。2人目は未払。宿泊代はホテル代に含む</t>
        </is>
      </c>
    </row>
    <row r="27">
      <c r="A27" s="6" t="inlineStr">
        <is>
          <t>予備費未使用返金分※4</t>
        </is>
      </c>
      <c r="B27" s="7" t="n">
        <v>1000</v>
      </c>
      <c r="C27" s="6" t="n">
        <v>42</v>
      </c>
      <c r="D27" s="7">
        <f>B27*C27</f>
        <v/>
      </c>
    </row>
    <row r="28">
      <c r="A28" s="8" t="inlineStr">
        <is>
          <t>支出合計</t>
        </is>
      </c>
      <c r="B28" s="6" t="n"/>
      <c r="C28" s="6" t="n"/>
      <c r="D28" s="9">
        <f>SUM(D18:D27)</f>
        <v/>
      </c>
    </row>
    <row r="30">
      <c r="A30" s="1" t="inlineStr">
        <is>
          <t>収支差額（収入－支出）</t>
        </is>
      </c>
      <c r="D30" s="11">
        <f>D14-D28</f>
        <v/>
      </c>
    </row>
    <row r="31">
      <c r="A31" t="inlineStr">
        <is>
          <t>バス代差額（有料道路代・駐車場代など後日請求分）</t>
        </is>
      </c>
      <c r="D31" s="12" t="n">
        <v>0</v>
      </c>
      <c r="E31" t="inlineStr">
        <is>
          <t>未確定（実費請求が届き次第、マイナスとして入力）</t>
        </is>
      </c>
    </row>
    <row r="32">
      <c r="A32" s="1" t="inlineStr">
        <is>
          <t>合宿残金</t>
        </is>
      </c>
      <c r="D32" s="13">
        <f>D30-D31</f>
        <v/>
      </c>
    </row>
    <row r="34">
      <c r="A34" s="14" t="inlineStr">
        <is>
          <t>※1 ホテル請求書合計は菅平ホテル発行の請求書（支払済）の実額。上の内訳4行の合計との差額をこの行で吸収しています。</t>
        </is>
      </c>
    </row>
    <row r="35">
      <c r="A35" s="14" t="inlineStr">
        <is>
          <t>※2 雑費は「合宿中使用経費」シートの領収書付き支出（会計分類C）の合計です。会計分類B（父母会予算で精算するもの）は含みません。</t>
        </is>
      </c>
    </row>
    <row r="36">
      <c r="A36" s="14" t="inlineStr">
        <is>
          <t>※3 バス代は国際興業への見積額。有料道路代・駐車場代は合宿後に実費請求されるため、届き次第「バス代差額」に反映してください。</t>
        </is>
      </c>
    </row>
    <row r="37">
      <c r="A37" s="14" t="inlineStr">
        <is>
          <t>※4 予備費は不参加者を除く全参加者から@1,000円徴収し、使用しなかったため全額返金します。</t>
        </is>
      </c>
    </row>
    <row r="38">
      <c r="A38" s="14" t="inlineStr">
        <is>
          <t>※ コーチ宿泊代・交通費・謝礼（黄色セル）は金額未確定です。判明次第このセルに入力すれば、支出合計以下は自動で再計算されます。</t>
        </is>
      </c>
    </row>
    <row r="39">
      <c r="A39" s="14" t="inlineStr">
        <is>
          <t>※ 合宿残金は返金せず、合宿後のプロテイン代等、部の活動費に充当します。</t>
        </is>
      </c>
    </row>
    <row r="40">
      <c r="A40" s="14" t="inlineStr">
        <is>
          <t>※ 対戦校への手土産・メディカル費等（会計分類B）は父母会予算から別途精算するため、上記の合宿費会計には含めていません。詳細は「父母会予算精算」シートを参照してください。</t>
        </is>
      </c>
    </row>
  </sheetData>
  <mergeCells count="8">
    <mergeCell ref="A39:E39"/>
    <mergeCell ref="A34:E34"/>
    <mergeCell ref="A35:E35"/>
    <mergeCell ref="A38:E38"/>
    <mergeCell ref="A37:E37"/>
    <mergeCell ref="A36:E36"/>
    <mergeCell ref="A6:E6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0" customWidth="1" min="4" max="4"/>
    <col width="12" customWidth="1" min="5" max="5"/>
    <col width="12" customWidth="1" min="6" max="6"/>
    <col width="10" customWidth="1" min="7" max="7"/>
    <col width="24" customWidth="1" min="8" max="8"/>
  </cols>
  <sheetData>
    <row r="1">
      <c r="A1" s="3" t="inlineStr">
        <is>
          <t>合宿中使用経費（雑費一次記録・会計分類C）</t>
        </is>
      </c>
    </row>
    <row r="3">
      <c r="A3" s="5" t="inlineStr">
        <is>
          <t>日付</t>
        </is>
      </c>
      <c r="B3" s="5" t="inlineStr">
        <is>
          <t>雑費番号</t>
        </is>
      </c>
      <c r="C3" s="5" t="inlineStr">
        <is>
          <t>支払先</t>
        </is>
      </c>
      <c r="D3" s="5" t="inlineStr">
        <is>
          <t>内容</t>
        </is>
      </c>
      <c r="E3" s="5" t="inlineStr">
        <is>
          <t>金額</t>
        </is>
      </c>
      <c r="F3" s="5" t="inlineStr">
        <is>
          <t>支払者</t>
        </is>
      </c>
      <c r="G3" s="5" t="inlineStr">
        <is>
          <t>精算</t>
        </is>
      </c>
      <c r="H3" s="5" t="inlineStr">
        <is>
          <t>備考</t>
        </is>
      </c>
    </row>
    <row r="4">
      <c r="A4" s="15" t="n">
        <v>46236</v>
      </c>
      <c r="B4" s="6" t="n">
        <v>1</v>
      </c>
      <c r="C4" s="6" t="inlineStr">
        <is>
          <t>セブンイレブン菅平高原八店</t>
        </is>
      </c>
      <c r="D4" s="6" t="inlineStr">
        <is>
          <t>串団子3本入 23パック</t>
        </is>
      </c>
      <c r="E4" s="7" t="n">
        <v>3179</v>
      </c>
      <c r="F4" s="6" t="inlineStr">
        <is>
          <t>畠山</t>
        </is>
      </c>
      <c r="G4" s="6" t="inlineStr">
        <is>
          <t>未</t>
        </is>
      </c>
      <c r="H4" s="6" t="inlineStr">
        <is>
          <t>補食。昨年台帳でも団子は雑費計上</t>
        </is>
      </c>
    </row>
    <row r="5">
      <c r="A5" s="15" t="n">
        <v>46236</v>
      </c>
      <c r="B5" s="6" t="n">
        <v>2</v>
      </c>
      <c r="C5" s="6" t="inlineStr">
        <is>
          <t>セブンイレブン菅平高原八店</t>
        </is>
      </c>
      <c r="D5" s="6" t="inlineStr">
        <is>
          <t>串団子3本入 5パック</t>
        </is>
      </c>
      <c r="E5" s="7" t="n">
        <v>691</v>
      </c>
      <c r="F5" s="6" t="inlineStr">
        <is>
          <t>畠山</t>
        </is>
      </c>
      <c r="G5" s="6" t="inlineStr">
        <is>
          <t>未</t>
        </is>
      </c>
      <c r="H5" s="6" t="inlineStr">
        <is>
          <t>補食。昨年台帳でも団子は雑費計上</t>
        </is>
      </c>
    </row>
    <row r="6">
      <c r="A6" s="15" t="n">
        <v>46236</v>
      </c>
      <c r="B6" s="6" t="n">
        <v>3</v>
      </c>
      <c r="C6" s="6" t="inlineStr">
        <is>
          <t>コメリ真田店</t>
        </is>
      </c>
      <c r="D6" s="6" t="inlineStr">
        <is>
          <t>消臭剤・HDMIケーブル</t>
        </is>
      </c>
      <c r="E6" s="7" t="n">
        <v>2178</v>
      </c>
      <c r="F6" s="6" t="inlineStr">
        <is>
          <t>畠山</t>
        </is>
      </c>
      <c r="G6" s="6" t="inlineStr">
        <is>
          <t>未</t>
        </is>
      </c>
      <c r="H6" s="6" t="inlineStr"/>
    </row>
    <row r="7">
      <c r="A7" s="15" t="n">
        <v>46236</v>
      </c>
      <c r="B7" s="6" t="n">
        <v>4</v>
      </c>
      <c r="C7" s="6" t="inlineStr">
        <is>
          <t>セブンイレブン菅平高原八店</t>
        </is>
      </c>
      <c r="D7" s="6" t="inlineStr">
        <is>
          <t>ゼリー飲料3点</t>
        </is>
      </c>
      <c r="E7" s="7" t="n">
        <v>878</v>
      </c>
      <c r="F7" s="6" t="inlineStr">
        <is>
          <t>畠山</t>
        </is>
      </c>
      <c r="G7" s="6" t="inlineStr">
        <is>
          <t>未</t>
        </is>
      </c>
      <c r="H7" s="6" t="inlineStr"/>
    </row>
    <row r="8">
      <c r="A8" s="15" t="n">
        <v>46240</v>
      </c>
      <c r="B8" s="6" t="n">
        <v>5</v>
      </c>
      <c r="C8" s="6" t="inlineStr">
        <is>
          <t>セブンイレブン菅平高原八店</t>
        </is>
      </c>
      <c r="D8" s="6" t="inlineStr">
        <is>
          <t>内訳記載なし（クレジット払い）</t>
        </is>
      </c>
      <c r="E8" s="7" t="n">
        <v>14631</v>
      </c>
      <c r="F8" s="6" t="inlineStr">
        <is>
          <t>畠山</t>
        </is>
      </c>
      <c r="G8" s="6" t="inlineStr">
        <is>
          <t>未</t>
        </is>
      </c>
      <c r="H8" s="6" t="inlineStr">
        <is>
          <t>品目不明。要メモ</t>
        </is>
      </c>
    </row>
    <row r="9">
      <c r="A9" s="15" t="n">
        <v>46240</v>
      </c>
      <c r="B9" s="6" t="n">
        <v>6</v>
      </c>
      <c r="C9" s="6" t="inlineStr">
        <is>
          <t>セブンイレブン菅平高原八店</t>
        </is>
      </c>
      <c r="D9" s="6" t="inlineStr">
        <is>
          <t>菓子類</t>
        </is>
      </c>
      <c r="E9" s="7" t="n">
        <v>2337</v>
      </c>
      <c r="F9" s="6" t="inlineStr">
        <is>
          <t>畠山</t>
        </is>
      </c>
      <c r="G9" s="6" t="inlineStr">
        <is>
          <t>未</t>
        </is>
      </c>
      <c r="H9" s="6" t="inlineStr"/>
    </row>
    <row r="10">
      <c r="A10" s="15" t="n">
        <v>46240</v>
      </c>
      <c r="B10" s="6" t="n">
        <v>7</v>
      </c>
      <c r="C10" s="6" t="inlineStr">
        <is>
          <t>菅平ホテル</t>
        </is>
      </c>
      <c r="D10" s="6" t="inlineStr">
        <is>
          <t>コインランドリーカード 1000円×2枚</t>
        </is>
      </c>
      <c r="E10" s="7" t="n">
        <v>2000</v>
      </c>
      <c r="F10" s="6" t="inlineStr">
        <is>
          <t>畠山</t>
        </is>
      </c>
      <c r="G10" s="6" t="inlineStr">
        <is>
          <t>未</t>
        </is>
      </c>
      <c r="H10" s="6" t="inlineStr">
        <is>
          <t>残額は翌年繰越。カード現物は部で保管</t>
        </is>
      </c>
    </row>
    <row r="11">
      <c r="A11" s="15" t="n">
        <v>46241</v>
      </c>
      <c r="B11" s="6" t="n">
        <v>8</v>
      </c>
      <c r="C11" s="6" t="inlineStr">
        <is>
          <t>星野コーチ</t>
        </is>
      </c>
      <c r="D11" s="6" t="inlineStr">
        <is>
          <t>夏合宿 コーチ謝礼</t>
        </is>
      </c>
      <c r="E11" s="7" t="n">
        <v>20000</v>
      </c>
      <c r="F11" s="6" t="inlineStr">
        <is>
          <t>占部</t>
        </is>
      </c>
      <c r="G11" s="6" t="inlineStr">
        <is>
          <t>未</t>
        </is>
      </c>
      <c r="H11" s="6" t="inlineStr">
        <is>
          <t>占部立替。日付は要確認。2人目のコーチ分は未計上</t>
        </is>
      </c>
    </row>
    <row r="12">
      <c r="D12" s="1" t="inlineStr">
        <is>
          <t>雑費 合計</t>
        </is>
      </c>
      <c r="E12" s="11">
        <f>SUM(E4:E11)</f>
        <v/>
      </c>
    </row>
    <row r="14">
      <c r="A14" t="inlineStr">
        <is>
          <t>※ 今年度は8件。昨年度は雑費36件の記録があり、比較して記録漏れがないか確認してください。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3" t="inlineStr">
        <is>
          <t>合宿中の支出で父母会予算（会計分類B）で精算するもの</t>
        </is>
      </c>
    </row>
    <row r="3">
      <c r="A3" s="5" t="inlineStr">
        <is>
          <t>日付</t>
        </is>
      </c>
      <c r="B3" s="5" t="inlineStr">
        <is>
          <t>支払先</t>
        </is>
      </c>
      <c r="C3" s="5" t="inlineStr">
        <is>
          <t>内容</t>
        </is>
      </c>
      <c r="D3" s="5" t="inlineStr">
        <is>
          <t>金額</t>
        </is>
      </c>
      <c r="E3" s="5" t="inlineStr">
        <is>
          <t>支払者</t>
        </is>
      </c>
      <c r="F3" s="5" t="inlineStr">
        <is>
          <t>精算</t>
        </is>
      </c>
      <c r="G3" s="5" t="inlineStr">
        <is>
          <t>備考</t>
        </is>
      </c>
    </row>
    <row r="4">
      <c r="A4" s="15" t="n">
        <v>46235</v>
      </c>
      <c r="B4" s="6" t="inlineStr">
        <is>
          <t>日本ハイウェイ・サービス</t>
        </is>
      </c>
      <c r="C4" s="6" t="inlineStr">
        <is>
          <t>東京ばな奈7個ほか</t>
        </is>
      </c>
      <c r="D4" s="7" t="n">
        <v>6781</v>
      </c>
      <c r="E4" s="6" t="inlineStr">
        <is>
          <t>畠山</t>
        </is>
      </c>
      <c r="F4" s="6" t="inlineStr">
        <is>
          <t>未</t>
        </is>
      </c>
      <c r="G4" s="6" t="inlineStr">
        <is>
          <t>対戦校への手土産と思われる。要確認</t>
        </is>
      </c>
    </row>
    <row r="5">
      <c r="A5" s="15" t="n">
        <v>46237</v>
      </c>
      <c r="B5" s="6" t="inlineStr">
        <is>
          <t>医療機関</t>
        </is>
      </c>
      <c r="C5" s="6" t="inlineStr">
        <is>
          <t>秋元翔斗 受診料</t>
        </is>
      </c>
      <c r="D5" s="7" t="n">
        <v>1070</v>
      </c>
      <c r="E5" s="6" t="inlineStr">
        <is>
          <t>占部</t>
        </is>
      </c>
      <c r="F5" s="6" t="inlineStr">
        <is>
          <t>未</t>
        </is>
      </c>
      <c r="G5" s="6" t="inlineStr">
        <is>
          <t>メディカル費</t>
        </is>
      </c>
    </row>
    <row r="6">
      <c r="C6" s="1" t="inlineStr">
        <is>
          <t>父母会予算 合計</t>
        </is>
      </c>
      <c r="D6" s="11">
        <f>SUM(D4:D5)</f>
        <v/>
      </c>
    </row>
    <row r="8">
      <c r="A8" t="inlineStr">
        <is>
          <t>※ 対戦校への手土産代・メディカル費等。合宿費（会計分類C）の徴収額には混ぜず、父母会予算から別途精算します。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2026-09-26T00:43:10Z</dcterms:created>
  <dcterms:modified xmlns:dcterms="http://purl.org/dc/terms/" xmlns:xsi="http://www.w3.org/2001/XMLSchema-instance" xsi:type="dcterms:W3CDTF">2026-09-26T00:43:10Z</dcterms:modified>
</cp:coreProperties>
</file>