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イズ別集計" sheetId="1" state="visible" r:id="rId1"/>
    <sheet xmlns:r="http://schemas.openxmlformats.org/officeDocument/2006/relationships" name="注文一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ラグビー部Tシャツ（文化祭販売）</t>
        </is>
      </c>
    </row>
    <row r="3">
      <c r="A3" s="2" t="inlineStr">
        <is>
          <t>サイズ</t>
        </is>
      </c>
      <c r="B3" s="2" t="inlineStr">
        <is>
          <t>数量</t>
        </is>
      </c>
    </row>
    <row r="4">
      <c r="A4" s="3" t="inlineStr">
        <is>
          <t>S</t>
        </is>
      </c>
      <c r="B4" s="3">
        <f>SUMIF(注文一覧!C:C,"S",注文一覧!D:D)</f>
        <v/>
      </c>
    </row>
    <row r="5">
      <c r="A5" s="3" t="inlineStr">
        <is>
          <t>M</t>
        </is>
      </c>
      <c r="B5" s="3">
        <f>SUMIF(注文一覧!C:C,"M",注文一覧!D:D)</f>
        <v/>
      </c>
    </row>
    <row r="6">
      <c r="A6" s="3" t="inlineStr">
        <is>
          <t>L</t>
        </is>
      </c>
      <c r="B6" s="3">
        <f>SUMIF(注文一覧!C:C,"L",注文一覧!D:D)</f>
        <v/>
      </c>
    </row>
    <row r="7">
      <c r="A7" s="3" t="inlineStr">
        <is>
          <t>XL</t>
        </is>
      </c>
      <c r="B7" s="3">
        <f>SUMIF(注文一覧!C:C,"XL",注文一覧!D:D)</f>
        <v/>
      </c>
    </row>
    <row r="8">
      <c r="A8" s="3" t="inlineStr">
        <is>
          <t>XXL</t>
        </is>
      </c>
      <c r="B8" s="3">
        <f>SUMIF(注文一覧!C:C,"XXL",注文一覧!D:D)</f>
        <v/>
      </c>
    </row>
    <row r="9">
      <c r="A9" s="4" t="inlineStr">
        <is>
          <t>合計</t>
        </is>
      </c>
      <c r="B9" s="5">
        <f>SUM(B4:B8)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8" customWidth="1" min="3" max="3"/>
    <col width="8" customWidth="1" min="4" max="4"/>
    <col width="30" customWidth="1" min="5" max="5"/>
  </cols>
  <sheetData>
    <row r="1">
      <c r="A1" s="2" t="inlineStr">
        <is>
          <t>学年・組</t>
        </is>
      </c>
      <c r="B1" s="2" t="inlineStr">
        <is>
          <t>生徒名</t>
        </is>
      </c>
      <c r="C1" s="2" t="inlineStr">
        <is>
          <t>サイズ</t>
        </is>
      </c>
      <c r="D1" s="2" t="inlineStr">
        <is>
          <t>数量</t>
        </is>
      </c>
      <c r="E1" s="2" t="inlineStr">
        <is>
          <t>品名</t>
        </is>
      </c>
    </row>
    <row r="2">
      <c r="A2" s="3" t="inlineStr">
        <is>
          <t>1年A組</t>
        </is>
      </c>
      <c r="B2" s="3" t="inlineStr">
        <is>
          <t>植作 渉</t>
        </is>
      </c>
      <c r="C2" s="3" t="inlineStr">
        <is>
          <t>XL</t>
        </is>
      </c>
      <c r="D2" s="3" t="n">
        <v>1</v>
      </c>
      <c r="E2" s="3" t="inlineStr">
        <is>
          <t>ラグビー部Tシャツ（文化祭販売）</t>
        </is>
      </c>
    </row>
    <row r="3">
      <c r="A3" s="3" t="inlineStr">
        <is>
          <t>1年A組</t>
        </is>
      </c>
      <c r="B3" s="3" t="inlineStr">
        <is>
          <t>竹原 浩輝</t>
        </is>
      </c>
      <c r="C3" s="3" t="inlineStr">
        <is>
          <t>M</t>
        </is>
      </c>
      <c r="D3" s="3" t="n">
        <v>1</v>
      </c>
      <c r="E3" s="3" t="inlineStr">
        <is>
          <t>ラグビー部Tシャツ（文化祭販売）</t>
        </is>
      </c>
    </row>
    <row r="4">
      <c r="A4" s="3" t="inlineStr">
        <is>
          <t>1年D組</t>
        </is>
      </c>
      <c r="B4" s="3" t="inlineStr">
        <is>
          <t>大津 究士</t>
        </is>
      </c>
      <c r="C4" s="3" t="inlineStr">
        <is>
          <t>L</t>
        </is>
      </c>
      <c r="D4" s="3" t="n">
        <v>1</v>
      </c>
      <c r="E4" s="3" t="inlineStr">
        <is>
          <t>ラグビー部Tシャツ（文化祭販売）</t>
        </is>
      </c>
    </row>
    <row r="5">
      <c r="A5" s="3" t="inlineStr">
        <is>
          <t>1年D組</t>
        </is>
      </c>
      <c r="B5" s="3" t="inlineStr">
        <is>
          <t>岸田 涼</t>
        </is>
      </c>
      <c r="C5" s="3" t="inlineStr">
        <is>
          <t>L</t>
        </is>
      </c>
      <c r="D5" s="3" t="n">
        <v>1</v>
      </c>
      <c r="E5" s="3" t="inlineStr">
        <is>
          <t>ラグビー部Tシャツ（文化祭販売）</t>
        </is>
      </c>
    </row>
    <row r="6">
      <c r="A6" s="3" t="inlineStr">
        <is>
          <t>1年D組</t>
        </is>
      </c>
      <c r="B6" s="3" t="inlineStr">
        <is>
          <t>岸田 涼</t>
        </is>
      </c>
      <c r="C6" s="3" t="inlineStr">
        <is>
          <t>XL</t>
        </is>
      </c>
      <c r="D6" s="3" t="n">
        <v>1</v>
      </c>
      <c r="E6" s="3" t="inlineStr">
        <is>
          <t>ラグビー部Tシャツ（文化祭販売）</t>
        </is>
      </c>
    </row>
    <row r="7">
      <c r="A7" s="3" t="inlineStr">
        <is>
          <t>1年D組</t>
        </is>
      </c>
      <c r="B7" s="3" t="inlineStr">
        <is>
          <t>藤野 裕心</t>
        </is>
      </c>
      <c r="C7" s="3" t="inlineStr">
        <is>
          <t>L</t>
        </is>
      </c>
      <c r="D7" s="3" t="n">
        <v>1</v>
      </c>
      <c r="E7" s="3" t="inlineStr">
        <is>
          <t>ラグビー部Tシャツ（文化祭販売）</t>
        </is>
      </c>
    </row>
    <row r="8">
      <c r="A8" s="3" t="inlineStr">
        <is>
          <t>1年D組</t>
        </is>
      </c>
      <c r="B8" s="3" t="inlineStr">
        <is>
          <t>藤野 裕心</t>
        </is>
      </c>
      <c r="C8" s="3" t="inlineStr">
        <is>
          <t>XL</t>
        </is>
      </c>
      <c r="D8" s="3" t="n">
        <v>1</v>
      </c>
      <c r="E8" s="3" t="inlineStr">
        <is>
          <t>ラグビー部Tシャツ（文化祭販売）</t>
        </is>
      </c>
    </row>
    <row r="9">
      <c r="A9" s="3" t="inlineStr">
        <is>
          <t>1年D組</t>
        </is>
      </c>
      <c r="B9" s="3" t="inlineStr">
        <is>
          <t>野村 奏太</t>
        </is>
      </c>
      <c r="C9" s="3" t="inlineStr">
        <is>
          <t>XL</t>
        </is>
      </c>
      <c r="D9" s="3" t="n">
        <v>2</v>
      </c>
      <c r="E9" s="3" t="inlineStr">
        <is>
          <t>ラグビー部Tシャツ（文化祭販売）</t>
        </is>
      </c>
    </row>
    <row r="10">
      <c r="A10" s="3" t="inlineStr">
        <is>
          <t>1年E組</t>
        </is>
      </c>
      <c r="B10" s="3" t="inlineStr">
        <is>
          <t>吉田 青空</t>
        </is>
      </c>
      <c r="C10" s="3" t="inlineStr">
        <is>
          <t>L</t>
        </is>
      </c>
      <c r="D10" s="3" t="n">
        <v>1</v>
      </c>
      <c r="E10" s="3" t="inlineStr">
        <is>
          <t>ラグビー部Tシャツ（文化祭販売）</t>
        </is>
      </c>
    </row>
    <row r="11">
      <c r="A11" s="3" t="inlineStr">
        <is>
          <t>1年E組</t>
        </is>
      </c>
      <c r="B11" s="3" t="inlineStr">
        <is>
          <t>吉田 青空</t>
        </is>
      </c>
      <c r="C11" s="3" t="inlineStr">
        <is>
          <t>XL</t>
        </is>
      </c>
      <c r="D11" s="3" t="n">
        <v>1</v>
      </c>
      <c r="E11" s="3" t="inlineStr">
        <is>
          <t>ラグビー部Tシャツ（文化祭販売）</t>
        </is>
      </c>
    </row>
    <row r="12">
      <c r="A12" s="3" t="inlineStr">
        <is>
          <t>1年E組</t>
        </is>
      </c>
      <c r="B12" s="3" t="inlineStr">
        <is>
          <t>増喜 晴也</t>
        </is>
      </c>
      <c r="C12" s="3" t="inlineStr">
        <is>
          <t>XL</t>
        </is>
      </c>
      <c r="D12" s="3" t="n">
        <v>1</v>
      </c>
      <c r="E12" s="3" t="inlineStr">
        <is>
          <t>ラグビー部Tシャツ（文化祭販売）</t>
        </is>
      </c>
    </row>
    <row r="13">
      <c r="A13" s="3" t="inlineStr">
        <is>
          <t>1年E組</t>
        </is>
      </c>
      <c r="B13" s="3" t="inlineStr">
        <is>
          <t>阿部 浩直</t>
        </is>
      </c>
      <c r="C13" s="3" t="inlineStr">
        <is>
          <t>L</t>
        </is>
      </c>
      <c r="D13" s="3" t="n">
        <v>1</v>
      </c>
      <c r="E13" s="3" t="inlineStr">
        <is>
          <t>ラグビー部Tシャツ（文化祭販売）</t>
        </is>
      </c>
    </row>
    <row r="14">
      <c r="A14" s="3" t="inlineStr">
        <is>
          <t>1年F組</t>
        </is>
      </c>
      <c r="B14" s="3" t="inlineStr">
        <is>
          <t>粕谷 雄大</t>
        </is>
      </c>
      <c r="C14" s="3" t="inlineStr">
        <is>
          <t>M</t>
        </is>
      </c>
      <c r="D14" s="3" t="n">
        <v>1</v>
      </c>
      <c r="E14" s="3" t="inlineStr">
        <is>
          <t>ラグビー部Tシャツ（文化祭販売）</t>
        </is>
      </c>
    </row>
    <row r="15">
      <c r="A15" s="3" t="inlineStr">
        <is>
          <t>1年F組</t>
        </is>
      </c>
      <c r="B15" s="3" t="inlineStr">
        <is>
          <t>粕谷 雄大</t>
        </is>
      </c>
      <c r="C15" s="3" t="inlineStr">
        <is>
          <t>L</t>
        </is>
      </c>
      <c r="D15" s="3" t="n">
        <v>1</v>
      </c>
      <c r="E15" s="3" t="inlineStr">
        <is>
          <t>ラグビー部Tシャツ（文化祭販売）</t>
        </is>
      </c>
    </row>
    <row r="16">
      <c r="A16" s="3" t="inlineStr">
        <is>
          <t>1年F組</t>
        </is>
      </c>
      <c r="B16" s="3" t="inlineStr">
        <is>
          <t>遠藤 将来</t>
        </is>
      </c>
      <c r="C16" s="3" t="inlineStr">
        <is>
          <t>L</t>
        </is>
      </c>
      <c r="D16" s="3" t="n">
        <v>1</v>
      </c>
      <c r="E16" s="3" t="inlineStr">
        <is>
          <t>ラグビー部Tシャツ（文化祭販売）</t>
        </is>
      </c>
    </row>
    <row r="17">
      <c r="A17" s="3" t="inlineStr">
        <is>
          <t>1年H組</t>
        </is>
      </c>
      <c r="B17" s="3" t="inlineStr">
        <is>
          <t>齋藤 賢青</t>
        </is>
      </c>
      <c r="C17" s="3" t="inlineStr">
        <is>
          <t>L</t>
        </is>
      </c>
      <c r="D17" s="3" t="n">
        <v>1</v>
      </c>
      <c r="E17" s="3" t="inlineStr">
        <is>
          <t>ラグビー部Tシャツ（文化祭販売）</t>
        </is>
      </c>
    </row>
    <row r="18">
      <c r="A18" s="3" t="inlineStr">
        <is>
          <t>1年I組</t>
        </is>
      </c>
      <c r="B18" s="3" t="inlineStr">
        <is>
          <t>葛西 律紀</t>
        </is>
      </c>
      <c r="C18" s="3" t="inlineStr">
        <is>
          <t>L</t>
        </is>
      </c>
      <c r="D18" s="3" t="n">
        <v>1</v>
      </c>
      <c r="E18" s="3" t="inlineStr">
        <is>
          <t>ラグビー部Tシャツ（文化祭販売）</t>
        </is>
      </c>
    </row>
    <row r="19">
      <c r="A19" s="3" t="inlineStr">
        <is>
          <t>1年J組</t>
        </is>
      </c>
      <c r="B19" s="3" t="inlineStr">
        <is>
          <t>田口 輝真</t>
        </is>
      </c>
      <c r="C19" s="3" t="inlineStr">
        <is>
          <t>M</t>
        </is>
      </c>
      <c r="D19" s="3" t="n">
        <v>1</v>
      </c>
      <c r="E19" s="3" t="inlineStr">
        <is>
          <t>ラグビー部Tシャツ（文化祭販売）</t>
        </is>
      </c>
    </row>
    <row r="20">
      <c r="A20" s="3" t="inlineStr">
        <is>
          <t>1年J組</t>
        </is>
      </c>
      <c r="B20" s="3" t="inlineStr">
        <is>
          <t>田口 輝真</t>
        </is>
      </c>
      <c r="C20" s="3" t="inlineStr">
        <is>
          <t>L</t>
        </is>
      </c>
      <c r="D20" s="3" t="n">
        <v>1</v>
      </c>
      <c r="E20" s="3" t="inlineStr">
        <is>
          <t>ラグビー部Tシャツ（文化祭販売）</t>
        </is>
      </c>
    </row>
    <row r="21">
      <c r="A21" s="3" t="inlineStr">
        <is>
          <t>1年K組</t>
        </is>
      </c>
      <c r="B21" s="3" t="inlineStr">
        <is>
          <t>中所 龍之介</t>
        </is>
      </c>
      <c r="C21" s="3" t="inlineStr">
        <is>
          <t>L</t>
        </is>
      </c>
      <c r="D21" s="3" t="n">
        <v>1</v>
      </c>
      <c r="E21" s="3" t="inlineStr">
        <is>
          <t>ラグビー部Tシャツ（文化祭販売）</t>
        </is>
      </c>
    </row>
    <row r="22">
      <c r="A22" s="3" t="inlineStr">
        <is>
          <t>1年K組</t>
        </is>
      </c>
      <c r="B22" s="3" t="inlineStr">
        <is>
          <t>中所 龍之介</t>
        </is>
      </c>
      <c r="C22" s="3" t="inlineStr">
        <is>
          <t>XL</t>
        </is>
      </c>
      <c r="D22" s="3" t="n">
        <v>1</v>
      </c>
      <c r="E22" s="3" t="inlineStr">
        <is>
          <t>ラグビー部Tシャツ（文化祭販売）</t>
        </is>
      </c>
    </row>
    <row r="23">
      <c r="A23" s="3" t="inlineStr">
        <is>
          <t>3年G組</t>
        </is>
      </c>
      <c r="B23" s="3" t="inlineStr">
        <is>
          <t>浅野 蒼来</t>
        </is>
      </c>
      <c r="C23" s="3" t="inlineStr">
        <is>
          <t>L</t>
        </is>
      </c>
      <c r="D23" s="3" t="n">
        <v>1</v>
      </c>
      <c r="E23" s="3" t="inlineStr">
        <is>
          <t>ラグビー部Tシャツ（文化祭販売）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2026-09-25T23:35:14Z</dcterms:created>
  <dcterms:modified xmlns:dcterms="http://purl.org/dc/terms/" xmlns:xsi="http://www.w3.org/2001/XMLSchema-instance" xsi:type="dcterms:W3CDTF">2026-09-25T23:35:14Z</dcterms:modified>
</cp:coreProperties>
</file>